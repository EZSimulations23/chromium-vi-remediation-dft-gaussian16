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C7757A3A-0ADA-4F82-A6CB-986B17FDB5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23" i="1"/>
  <c r="G22" i="1"/>
  <c r="G7" i="1"/>
  <c r="H7" i="1"/>
  <c r="H4" i="1"/>
  <c r="G6" i="1"/>
  <c r="H6" i="1"/>
  <c r="H14" i="1"/>
  <c r="G14" i="1"/>
  <c r="H19" i="1"/>
  <c r="H18" i="1"/>
  <c r="G19" i="1"/>
  <c r="G18" i="1"/>
  <c r="H21" i="1"/>
  <c r="H20" i="1"/>
  <c r="G21" i="1"/>
  <c r="G20" i="1"/>
  <c r="H9" i="1"/>
  <c r="H24" i="1"/>
  <c r="G24" i="1"/>
  <c r="H23" i="1"/>
  <c r="H22" i="1"/>
  <c r="H17" i="1"/>
  <c r="G17" i="1"/>
  <c r="H16" i="1"/>
  <c r="G16" i="1"/>
  <c r="H15" i="1"/>
  <c r="G15" i="1"/>
  <c r="H12" i="1"/>
  <c r="G12" i="1"/>
  <c r="H11" i="1"/>
  <c r="G11" i="1"/>
  <c r="H10" i="1"/>
  <c r="G10" i="1"/>
  <c r="G9" i="1"/>
  <c r="H8" i="1"/>
  <c r="G8" i="1"/>
  <c r="H5" i="1"/>
  <c r="G5" i="1"/>
  <c r="J3" i="1" l="1"/>
  <c r="H13" i="1"/>
  <c r="G13" i="1"/>
  <c r="L7" i="1" s="1"/>
  <c r="K7" i="1" l="1"/>
  <c r="M7" i="1"/>
  <c r="N7" i="1"/>
  <c r="L8" i="1"/>
  <c r="N8" i="1"/>
  <c r="M8" i="1"/>
</calcChain>
</file>

<file path=xl/sharedStrings.xml><?xml version="1.0" encoding="utf-8"?>
<sst xmlns="http://schemas.openxmlformats.org/spreadsheetml/2006/main" count="57" uniqueCount="45">
  <si>
    <t>RELATIVE ENERGY DIAGRAM DATA</t>
  </si>
  <si>
    <t>.log File Name</t>
  </si>
  <si>
    <t>Description</t>
  </si>
  <si>
    <t>Gibbs Free Energy</t>
  </si>
  <si>
    <t>Ground: Ethanol, Monochromate, Oxalic acid</t>
  </si>
  <si>
    <t>Hartree (.log)</t>
  </si>
  <si>
    <t>kj/mol (Hartree*2625.5)</t>
  </si>
  <si>
    <t>kcal/mol (Hartree*627.509)</t>
  </si>
  <si>
    <t>Termolecular Transition State</t>
  </si>
  <si>
    <t>Ethanol</t>
  </si>
  <si>
    <t>Reaction Coordinate</t>
  </si>
  <si>
    <t xml:space="preserve">EtO- </t>
  </si>
  <si>
    <t xml:space="preserve">Ground State </t>
  </si>
  <si>
    <t>Oxolato Complex</t>
  </si>
  <si>
    <t>TTS</t>
  </si>
  <si>
    <t>TTS decay</t>
  </si>
  <si>
    <t>Oxalic Acid 2H</t>
  </si>
  <si>
    <t>Oxalic Acid</t>
  </si>
  <si>
    <t>kj/mol</t>
  </si>
  <si>
    <t>Oxalic 1-</t>
  </si>
  <si>
    <t>Oxalic Acid 1-</t>
  </si>
  <si>
    <t>Change (Δ) -&gt;</t>
  </si>
  <si>
    <t>N/A</t>
  </si>
  <si>
    <t>Oxalic 2-</t>
  </si>
  <si>
    <t>Oxalic Acid 2-</t>
  </si>
  <si>
    <t>H2CrO4</t>
  </si>
  <si>
    <t>HCrO4 -</t>
  </si>
  <si>
    <t>CrO4 2-</t>
  </si>
  <si>
    <t>Cr oxolato complex</t>
  </si>
  <si>
    <t>Cr-Oxolato Complex</t>
  </si>
  <si>
    <t>Cr3 Implicit water</t>
  </si>
  <si>
    <t>Cr(III) 6H2O</t>
  </si>
  <si>
    <t xml:space="preserve">Cr(III) 4H2O 1 Ox </t>
  </si>
  <si>
    <t>Cr(III) 2 H2O 2Ox</t>
  </si>
  <si>
    <t xml:space="preserve">Cr(III) 2H2O 2 Ox </t>
  </si>
  <si>
    <t>CO2</t>
  </si>
  <si>
    <t>CO2 -1</t>
  </si>
  <si>
    <t>H+</t>
  </si>
  <si>
    <t>H3O+</t>
  </si>
  <si>
    <t>H-</t>
  </si>
  <si>
    <t>H−</t>
  </si>
  <si>
    <t>H2O</t>
  </si>
  <si>
    <t>H₂O</t>
  </si>
  <si>
    <t>O CH CH3</t>
  </si>
  <si>
    <t>O=CH-CH3 (acetaldehyde)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</si>
</sst>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12">
    <font>
      <sz val="11"/>
      <color theme="1"/>
      <name val="Calibri"/>
      <family val="2"/>
      <scheme val="minor"/>
    </font>
    <font>
      <b/>
      <sz val="16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Aptos Narrow"/>
      <charset val="1"/>
    </font>
    <font>
      <b/>
      <sz val="14"/>
      <color theme="1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Consolas"/>
      <charset val="1"/>
    </font>
    <font>
      <sz val="16"/>
      <color theme="1"/>
      <name val="Aptos Narrow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3" xfId="0" applyBorder="1" applyAlignment="1">
      <alignment horizontal="left"/>
    </xf>
    <xf numFmtId="0" fontId="7" fillId="0" borderId="0" xfId="0" applyFont="1"/>
    <xf numFmtId="164" fontId="0" fillId="0" borderId="0" xfId="0" applyNumberFormat="1"/>
    <xf numFmtId="0" fontId="11" fillId="0" borderId="0" xfId="0" applyFont="1"/>
    <xf numFmtId="2" fontId="10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8" fillId="0" borderId="0" xfId="0" applyFont="1"/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 applyAlignment="1">
      <alignment horizontal="left"/>
    </xf>
    <xf numFmtId="165" fontId="2" fillId="0" borderId="5" xfId="0" applyNumberFormat="1" applyFont="1" applyBorder="1" applyAlignment="1">
      <alignment horizontal="left"/>
    </xf>
    <xf numFmtId="165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 applyAlignment="1">
      <alignment horizontal="left"/>
    </xf>
    <xf numFmtId="0" fontId="0" fillId="0" borderId="2" xfId="0" applyBorder="1"/>
    <xf numFmtId="164" fontId="3" fillId="0" borderId="2" xfId="0" applyNumberFormat="1" applyFont="1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Energy Diagram (kJ/mol)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Sheet1!$K$7:$N$7</c:f>
              <c:numCache>
                <c:formatCode>General</c:formatCode>
                <c:ptCount val="4"/>
                <c:pt idx="0">
                  <c:v>0</c:v>
                </c:pt>
                <c:pt idx="1">
                  <c:v>-16.19933500001207</c:v>
                </c:pt>
                <c:pt idx="2">
                  <c:v>9.6119555002078414</c:v>
                </c:pt>
                <c:pt idx="3" formatCode="0.0000000">
                  <c:v>-198.69508450012654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6-4372-94B0-8C1B283E5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800968"/>
        <c:axId val="1901803016"/>
      </c:lineChart>
      <c:catAx>
        <c:axId val="1901800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Coordinate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03016"/>
        <c:crosses val="autoZero"/>
        <c:auto val="1"/>
        <c:lblAlgn val="ctr"/>
        <c:lblOffset val="100"/>
        <c:noMultiLvlLbl val="0"/>
      </c:catAx>
      <c:valAx>
        <c:axId val="190180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kJ/mol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00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8</xdr:row>
      <xdr:rowOff>114300</xdr:rowOff>
    </xdr:from>
    <xdr:to>
      <xdr:col>14</xdr:col>
      <xdr:colOff>514350</xdr:colOff>
      <xdr:row>36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62276-6664-4900-B57C-2E6CBB5456D5}"/>
            </a:ext>
            <a:ext uri="{147F2762-F138-4A5C-976F-8EAC2B608ADB}">
              <a16:predDERef xmlns:a16="http://schemas.microsoft.com/office/drawing/2014/main" pred="{2BE8FD77-F071-6841-54B8-A2C955388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476250</xdr:colOff>
      <xdr:row>25</xdr:row>
      <xdr:rowOff>0</xdr:rowOff>
    </xdr:from>
    <xdr:to>
      <xdr:col>7</xdr:col>
      <xdr:colOff>752475</xdr:colOff>
      <xdr:row>38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725309-68AB-F06C-F771-5BBEB254D98F}"/>
            </a:ext>
            <a:ext uri="{147F2762-F138-4A5C-976F-8EAC2B608ADB}">
              <a16:predDERef xmlns:a16="http://schemas.microsoft.com/office/drawing/2014/main" pred="{2E2CAE34-89A2-449D-EA8A-C076D1367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5175" y="4838700"/>
          <a:ext cx="4572000" cy="2647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topLeftCell="C1" workbookViewId="0">
      <selection activeCell="R45" sqref="R45"/>
    </sheetView>
  </sheetViews>
  <sheetFormatPr defaultRowHeight="15"/>
  <cols>
    <col min="1" max="1" width="24.140625" customWidth="1"/>
    <col min="6" max="6" width="20.5703125" customWidth="1"/>
    <col min="7" max="8" width="25.5703125" customWidth="1"/>
    <col min="10" max="10" width="12.140625" customWidth="1"/>
    <col min="11" max="11" width="12.5703125" customWidth="1"/>
    <col min="12" max="12" width="25.28515625" customWidth="1"/>
    <col min="13" max="13" width="21.5703125" customWidth="1"/>
    <col min="14" max="14" width="21" customWidth="1"/>
    <col min="15" max="15" width="21.7109375" customWidth="1"/>
    <col min="16" max="16" width="17.140625" customWidth="1"/>
    <col min="17" max="17" width="24.140625" customWidth="1"/>
    <col min="18" max="18" width="23.140625" customWidth="1"/>
    <col min="19" max="19" width="23.5703125" customWidth="1"/>
    <col min="20" max="20" width="33.140625" customWidth="1"/>
  </cols>
  <sheetData>
    <row r="1" spans="1:20" ht="21">
      <c r="A1" s="33" t="s">
        <v>0</v>
      </c>
      <c r="B1" s="34"/>
      <c r="C1" s="34"/>
      <c r="D1" s="34"/>
      <c r="E1" s="34"/>
      <c r="F1" s="34"/>
      <c r="G1" s="34"/>
      <c r="H1" s="35"/>
      <c r="K1" s="2"/>
      <c r="L1" s="51"/>
      <c r="M1" s="51"/>
      <c r="N1" s="8"/>
      <c r="O1" s="8"/>
      <c r="P1" s="2"/>
      <c r="Q1" s="2"/>
      <c r="R1" s="2"/>
      <c r="S1" s="2"/>
      <c r="T1" s="8"/>
    </row>
    <row r="2" spans="1:20">
      <c r="A2" s="31" t="s">
        <v>1</v>
      </c>
      <c r="B2" s="46" t="s">
        <v>2</v>
      </c>
      <c r="C2" s="47"/>
      <c r="D2" s="47"/>
      <c r="E2" s="47"/>
      <c r="F2" s="46" t="s">
        <v>3</v>
      </c>
      <c r="G2" s="47"/>
      <c r="H2" s="48"/>
      <c r="J2" s="22" t="s">
        <v>4</v>
      </c>
      <c r="K2" s="3"/>
      <c r="L2" s="4"/>
      <c r="M2" s="2"/>
      <c r="N2" s="8"/>
      <c r="O2" s="8"/>
    </row>
    <row r="3" spans="1:20">
      <c r="A3" s="32"/>
      <c r="B3" s="49"/>
      <c r="C3" s="50"/>
      <c r="D3" s="50"/>
      <c r="E3" s="50"/>
      <c r="F3" s="1" t="s">
        <v>5</v>
      </c>
      <c r="G3" s="2" t="s">
        <v>6</v>
      </c>
      <c r="H3" s="26" t="s">
        <v>7</v>
      </c>
      <c r="I3" s="2"/>
      <c r="J3" s="30">
        <f>G10+G7+G6</f>
        <v>-2419076.8389154999</v>
      </c>
      <c r="K3" s="6"/>
      <c r="L3" s="7"/>
      <c r="M3" s="8"/>
      <c r="N3" s="8"/>
      <c r="O3" s="8"/>
    </row>
    <row r="4" spans="1:20">
      <c r="A4" s="27"/>
      <c r="B4" s="40" t="s">
        <v>8</v>
      </c>
      <c r="C4" s="41"/>
      <c r="D4" s="41"/>
      <c r="E4" s="41"/>
      <c r="F4" s="28">
        <v>-768.69715499999995</v>
      </c>
      <c r="G4" s="2">
        <f>F4*2625.5</f>
        <v>-2018214.3804525</v>
      </c>
      <c r="H4" s="26">
        <f>F4*627.509</f>
        <v>-482364.38303689496</v>
      </c>
      <c r="I4" s="2"/>
      <c r="J4" s="2"/>
      <c r="K4" s="2"/>
      <c r="L4" s="2"/>
      <c r="M4" s="2"/>
      <c r="N4" s="8"/>
      <c r="O4" s="8"/>
    </row>
    <row r="5" spans="1:20">
      <c r="A5" s="27" t="s">
        <v>9</v>
      </c>
      <c r="B5" s="36" t="s">
        <v>9</v>
      </c>
      <c r="C5" s="37"/>
      <c r="D5" s="37"/>
      <c r="E5" s="37"/>
      <c r="F5" s="1">
        <v>-155.04937200000001</v>
      </c>
      <c r="G5" s="2">
        <f>F5*2625.5</f>
        <v>-407082.12618600001</v>
      </c>
      <c r="H5" s="26">
        <f>F5*627.509</f>
        <v>-97294.876374348009</v>
      </c>
      <c r="I5" s="2"/>
      <c r="J5" s="52" t="s">
        <v>10</v>
      </c>
      <c r="K5" s="53"/>
      <c r="L5" s="53"/>
      <c r="M5" s="53"/>
      <c r="N5" s="54"/>
      <c r="O5" s="8"/>
      <c r="T5" s="2"/>
    </row>
    <row r="6" spans="1:20">
      <c r="A6" s="27" t="s">
        <v>11</v>
      </c>
      <c r="B6" s="40" t="s">
        <v>11</v>
      </c>
      <c r="C6" s="41"/>
      <c r="D6" s="41"/>
      <c r="E6" s="41"/>
      <c r="F6" s="1">
        <v>-154.56359900000001</v>
      </c>
      <c r="G6" s="2">
        <f>F6*2625.5</f>
        <v>-405806.72917450004</v>
      </c>
      <c r="H6" s="26">
        <f>F6*627.509</f>
        <v>-96990.049444891003</v>
      </c>
      <c r="I6" s="2"/>
      <c r="J6" s="12"/>
      <c r="K6" s="22" t="s">
        <v>12</v>
      </c>
      <c r="L6" s="19" t="s">
        <v>13</v>
      </c>
      <c r="M6" s="19" t="s">
        <v>14</v>
      </c>
      <c r="N6" s="20" t="s">
        <v>15</v>
      </c>
      <c r="O6" s="8"/>
      <c r="P6" s="2"/>
      <c r="Q6" s="2"/>
      <c r="R6" s="2"/>
      <c r="S6" s="2"/>
      <c r="T6" s="8"/>
    </row>
    <row r="7" spans="1:20">
      <c r="A7" s="27" t="s">
        <v>16</v>
      </c>
      <c r="B7" s="40" t="s">
        <v>17</v>
      </c>
      <c r="C7" s="41"/>
      <c r="D7" s="41"/>
      <c r="E7" s="41"/>
      <c r="F7" s="29">
        <v>-378.27</v>
      </c>
      <c r="G7" s="2">
        <f>F7*2625.5</f>
        <v>-993147.88500000001</v>
      </c>
      <c r="H7" s="26">
        <f>F7*627.509</f>
        <v>-237367.82942999998</v>
      </c>
      <c r="I7" s="2"/>
      <c r="J7" s="1" t="s">
        <v>18</v>
      </c>
      <c r="K7" s="1">
        <f>G10+G7+G6-J3</f>
        <v>0</v>
      </c>
      <c r="L7" s="2">
        <f>G13+G6+G23+G23-J3</f>
        <v>-16.19933500001207</v>
      </c>
      <c r="M7" s="2">
        <f>G4+G23+G23+G6+G20-(J3+G5)</f>
        <v>9.6119555002078414</v>
      </c>
      <c r="N7" s="23">
        <f>-2419275.534-J3</f>
        <v>-198.69508450012654</v>
      </c>
      <c r="O7" s="8"/>
      <c r="P7" s="2"/>
      <c r="Q7" s="5"/>
      <c r="R7" s="2"/>
      <c r="S7" s="5"/>
      <c r="T7" s="2"/>
    </row>
    <row r="8" spans="1:20">
      <c r="A8" s="27" t="s">
        <v>19</v>
      </c>
      <c r="B8" s="40" t="s">
        <v>20</v>
      </c>
      <c r="C8" s="41"/>
      <c r="D8" s="41"/>
      <c r="E8" s="41"/>
      <c r="F8" s="28">
        <v>-378.02373699999998</v>
      </c>
      <c r="G8" s="2">
        <f>F8*2625.5</f>
        <v>-992501.32149349991</v>
      </c>
      <c r="H8" s="26">
        <f>F8*627.509</f>
        <v>-237213.29718113301</v>
      </c>
      <c r="I8" s="2"/>
      <c r="J8" s="10" t="s">
        <v>21</v>
      </c>
      <c r="K8" s="11" t="s">
        <v>22</v>
      </c>
      <c r="L8" s="6">
        <f>L7-K7</f>
        <v>-16.19933500001207</v>
      </c>
      <c r="M8" s="6">
        <f>M7-L7</f>
        <v>25.811290500219911</v>
      </c>
      <c r="N8" s="7">
        <f>N7-M7</f>
        <v>-208.30704000033438</v>
      </c>
      <c r="O8" s="8"/>
      <c r="P8" s="2"/>
      <c r="Q8" s="5"/>
      <c r="R8" s="5"/>
      <c r="S8" s="5"/>
      <c r="T8" s="5"/>
    </row>
    <row r="9" spans="1:20">
      <c r="A9" s="27" t="s">
        <v>23</v>
      </c>
      <c r="B9" s="40" t="s">
        <v>24</v>
      </c>
      <c r="C9" s="41"/>
      <c r="D9" s="41"/>
      <c r="E9" s="41"/>
      <c r="F9" s="1">
        <v>-377.57636200000002</v>
      </c>
      <c r="G9" s="2">
        <f>F9*2625.5</f>
        <v>-991326.73843100003</v>
      </c>
      <c r="H9" s="26">
        <f>F9*627.509</f>
        <v>-236932.56534225802</v>
      </c>
      <c r="I9" s="2"/>
      <c r="J9" s="2"/>
      <c r="K9" s="2"/>
      <c r="L9" s="2"/>
      <c r="M9" s="8"/>
      <c r="N9" s="8"/>
      <c r="O9" s="8"/>
      <c r="P9" s="9"/>
      <c r="Q9" s="5"/>
      <c r="R9" s="2"/>
      <c r="S9" s="2"/>
      <c r="T9" s="2"/>
    </row>
    <row r="10" spans="1:20">
      <c r="A10" s="27" t="s">
        <v>25</v>
      </c>
      <c r="B10" s="40" t="s">
        <v>25</v>
      </c>
      <c r="C10" s="41"/>
      <c r="D10" s="41"/>
      <c r="E10" s="41"/>
      <c r="F10" s="1">
        <v>-388.54398200000003</v>
      </c>
      <c r="G10" s="2">
        <f>F10*2625.5</f>
        <v>-1020122.2247410001</v>
      </c>
      <c r="H10" s="26">
        <f>F10*627.509</f>
        <v>-243814.84560083802</v>
      </c>
      <c r="I10" s="2"/>
      <c r="J10" s="5"/>
      <c r="K10" s="2"/>
      <c r="L10" s="2"/>
      <c r="M10" s="2"/>
      <c r="N10" s="8"/>
      <c r="P10" s="2"/>
      <c r="Q10" s="5"/>
      <c r="R10" s="5"/>
      <c r="S10" s="5"/>
      <c r="T10" s="5"/>
    </row>
    <row r="11" spans="1:20">
      <c r="A11" s="27" t="s">
        <v>22</v>
      </c>
      <c r="B11" s="36" t="s">
        <v>26</v>
      </c>
      <c r="C11" s="37"/>
      <c r="D11" s="37"/>
      <c r="E11" s="37"/>
      <c r="F11" s="1">
        <v>-388.00192299999998</v>
      </c>
      <c r="G11" s="2">
        <f>F11*2625.5</f>
        <v>-1018699.0488364999</v>
      </c>
      <c r="H11" s="26">
        <f>F11*627.509</f>
        <v>-243474.69869980699</v>
      </c>
      <c r="I11" s="2"/>
      <c r="J11" s="2"/>
      <c r="K11" s="2"/>
      <c r="L11" s="2"/>
      <c r="M11" s="2"/>
      <c r="N11" s="8"/>
      <c r="P11" s="2"/>
      <c r="Q11" s="2"/>
      <c r="R11" s="2"/>
      <c r="S11" s="8"/>
      <c r="T11" s="8"/>
    </row>
    <row r="12" spans="1:20">
      <c r="A12" s="27" t="s">
        <v>27</v>
      </c>
      <c r="B12" s="36" t="s">
        <v>27</v>
      </c>
      <c r="C12" s="37"/>
      <c r="D12" s="37"/>
      <c r="E12" s="37"/>
      <c r="F12" s="1">
        <v>-387.67898200000002</v>
      </c>
      <c r="G12" s="2">
        <f>F12*2625.5</f>
        <v>-1017851.1672410001</v>
      </c>
      <c r="H12" s="26">
        <f>F12*627.509</f>
        <v>-243272.05031583802</v>
      </c>
      <c r="I12" s="2"/>
      <c r="J12" s="2"/>
      <c r="K12" s="2"/>
      <c r="L12" s="2"/>
      <c r="M12" s="8"/>
      <c r="N12" s="8"/>
      <c r="O12" s="8"/>
      <c r="P12" s="2"/>
      <c r="Q12" s="2"/>
      <c r="R12" s="2"/>
      <c r="S12" s="2"/>
      <c r="T12" s="2"/>
    </row>
    <row r="13" spans="1:20">
      <c r="A13" s="27" t="s">
        <v>28</v>
      </c>
      <c r="B13" s="40" t="s">
        <v>29</v>
      </c>
      <c r="C13" s="41"/>
      <c r="D13" s="41"/>
      <c r="E13" s="41"/>
      <c r="F13" s="28">
        <v>-613.88279399999999</v>
      </c>
      <c r="G13" s="2">
        <f>F13*2625.5</f>
        <v>-1611749.2756469999</v>
      </c>
      <c r="H13" s="26">
        <f>F13*627.509</f>
        <v>-385216.97818014602</v>
      </c>
      <c r="I13" s="2"/>
      <c r="J13" s="2"/>
      <c r="K13" s="2"/>
      <c r="L13" s="2"/>
      <c r="M13" s="2"/>
      <c r="N13" s="8"/>
      <c r="O13" s="21"/>
      <c r="P13" s="2"/>
      <c r="Q13" s="2"/>
      <c r="R13" s="2"/>
      <c r="S13" s="2"/>
      <c r="T13" s="2"/>
    </row>
    <row r="14" spans="1:20">
      <c r="A14" s="27" t="s">
        <v>30</v>
      </c>
      <c r="B14" s="40" t="s">
        <v>30</v>
      </c>
      <c r="C14" s="41"/>
      <c r="D14" s="41"/>
      <c r="E14" s="41"/>
      <c r="F14" s="1">
        <v>-85.756693999999996</v>
      </c>
      <c r="G14" s="2">
        <f>F14*2625.5</f>
        <v>-225154.20009699999</v>
      </c>
      <c r="H14" s="26">
        <f>F14*627.509</f>
        <v>-53813.097295246</v>
      </c>
      <c r="I14" s="2"/>
      <c r="J14" s="2"/>
      <c r="K14" s="2"/>
      <c r="L14" s="2"/>
      <c r="M14" s="8"/>
      <c r="N14" s="8"/>
      <c r="O14" s="8"/>
      <c r="P14" s="2"/>
      <c r="Q14" s="2"/>
      <c r="R14" s="2"/>
      <c r="S14" s="2"/>
      <c r="T14" s="2"/>
    </row>
    <row r="15" spans="1:20">
      <c r="A15" s="27" t="s">
        <v>31</v>
      </c>
      <c r="B15" s="36" t="s">
        <v>31</v>
      </c>
      <c r="C15" s="37"/>
      <c r="D15" s="37"/>
      <c r="E15" s="37"/>
      <c r="F15" s="1">
        <v>-544.68239200000005</v>
      </c>
      <c r="G15" s="2">
        <f>F15*2625.5</f>
        <v>-1430063.6201960002</v>
      </c>
      <c r="H15" s="26">
        <f>F15*627.509</f>
        <v>-341793.10312152805</v>
      </c>
      <c r="I15" s="2"/>
      <c r="J15" s="2"/>
      <c r="K15" s="2"/>
      <c r="L15" s="2"/>
      <c r="M15" s="8"/>
      <c r="N15" s="8"/>
      <c r="O15" s="8"/>
      <c r="P15" s="2"/>
      <c r="Q15" s="2"/>
      <c r="R15" s="2"/>
      <c r="S15" s="2"/>
      <c r="T15" s="2"/>
    </row>
    <row r="16" spans="1:20">
      <c r="A16" s="27" t="s">
        <v>22</v>
      </c>
      <c r="B16" s="36" t="s">
        <v>32</v>
      </c>
      <c r="C16" s="37"/>
      <c r="D16" s="37"/>
      <c r="E16" s="37"/>
      <c r="F16" s="1">
        <v>-768.60086000000001</v>
      </c>
      <c r="G16" s="2">
        <f>F16*2625.5</f>
        <v>-2017961.5579300001</v>
      </c>
      <c r="H16" s="26">
        <f>F16*627.509</f>
        <v>-482303.95705774002</v>
      </c>
      <c r="I16" s="2"/>
      <c r="J16" s="2"/>
      <c r="K16" s="2"/>
      <c r="L16" s="2"/>
      <c r="M16" s="8"/>
      <c r="N16" s="8"/>
      <c r="O16" s="8"/>
      <c r="P16" s="2"/>
      <c r="Q16" s="2"/>
      <c r="R16" s="2"/>
      <c r="S16" s="2"/>
      <c r="T16" s="2"/>
    </row>
    <row r="17" spans="1:20">
      <c r="A17" s="27" t="s">
        <v>33</v>
      </c>
      <c r="B17" s="36" t="s">
        <v>34</v>
      </c>
      <c r="C17" s="37"/>
      <c r="D17" s="37"/>
      <c r="E17" s="37"/>
      <c r="F17" s="1">
        <v>-993.97779800000001</v>
      </c>
      <c r="G17" s="2">
        <f>F17*2625.5</f>
        <v>-2609688.7086490002</v>
      </c>
      <c r="H17" s="26">
        <f>F17*627.509</f>
        <v>-623730.01404518203</v>
      </c>
      <c r="I17" s="2"/>
      <c r="J17" s="2"/>
      <c r="K17" s="2"/>
      <c r="L17" s="2"/>
      <c r="M17" s="8"/>
      <c r="N17" s="8"/>
      <c r="O17" s="8"/>
      <c r="P17" s="2"/>
      <c r="Q17" s="2"/>
      <c r="R17" s="2"/>
      <c r="S17" s="2"/>
      <c r="T17" s="2"/>
    </row>
    <row r="18" spans="1:20">
      <c r="A18" s="27" t="s">
        <v>35</v>
      </c>
      <c r="B18" s="36" t="s">
        <v>35</v>
      </c>
      <c r="C18" s="37"/>
      <c r="D18" s="37"/>
      <c r="E18" s="37"/>
      <c r="F18" s="1">
        <v>-188.65247099999999</v>
      </c>
      <c r="G18" s="2">
        <f>F18*2625.5</f>
        <v>-495307.06261049997</v>
      </c>
      <c r="H18" s="26">
        <f>F18*627.509</f>
        <v>-118381.12342473899</v>
      </c>
      <c r="I18" s="2"/>
      <c r="J18" s="2"/>
      <c r="K18" s="2"/>
      <c r="L18" s="2"/>
      <c r="M18" s="8"/>
      <c r="N18" s="8"/>
      <c r="O18" s="8"/>
      <c r="P18" s="2"/>
      <c r="Q18" s="2"/>
      <c r="R18" s="2"/>
      <c r="S18" s="2"/>
      <c r="T18" s="2"/>
    </row>
    <row r="19" spans="1:20">
      <c r="A19" s="27" t="s">
        <v>36</v>
      </c>
      <c r="B19" s="36" t="s">
        <v>36</v>
      </c>
      <c r="C19" s="37"/>
      <c r="D19" s="37"/>
      <c r="E19" s="37"/>
      <c r="F19" s="1">
        <v>-188.66098600000001</v>
      </c>
      <c r="G19" s="2">
        <f>F19*2625.5</f>
        <v>-495329.41874300002</v>
      </c>
      <c r="H19" s="26">
        <f>F19*627.509</f>
        <v>-118386.466663874</v>
      </c>
      <c r="I19" s="2"/>
      <c r="J19" s="2"/>
      <c r="K19" s="2"/>
      <c r="L19" s="2"/>
      <c r="M19" s="8"/>
      <c r="N19" s="8"/>
      <c r="O19" s="8"/>
      <c r="P19" s="2"/>
      <c r="Q19" s="24"/>
      <c r="R19" s="2"/>
      <c r="S19" s="2"/>
      <c r="T19" s="2"/>
    </row>
    <row r="20" spans="1:20">
      <c r="A20" s="27" t="s">
        <v>37</v>
      </c>
      <c r="B20" s="36" t="s">
        <v>37</v>
      </c>
      <c r="C20" s="37"/>
      <c r="D20" s="37"/>
      <c r="E20" s="37"/>
      <c r="F20" s="29">
        <v>-0.22517999999999999</v>
      </c>
      <c r="G20" s="2">
        <f>F20*2625.5</f>
        <v>-591.21008999999992</v>
      </c>
      <c r="H20" s="26">
        <f>F20*627.509</f>
        <v>-141.30247661999999</v>
      </c>
      <c r="I20" s="2"/>
      <c r="J20" s="2"/>
      <c r="K20" s="2"/>
      <c r="L20" s="2"/>
      <c r="M20" s="8"/>
      <c r="N20" s="8"/>
      <c r="O20" s="8"/>
      <c r="P20" s="2"/>
      <c r="Q20" s="2"/>
      <c r="R20" s="2"/>
      <c r="S20" s="2"/>
      <c r="T20" s="2"/>
    </row>
    <row r="21" spans="1:20">
      <c r="A21" s="27" t="s">
        <v>38</v>
      </c>
      <c r="B21" s="36" t="s">
        <v>38</v>
      </c>
      <c r="C21" s="37"/>
      <c r="D21" s="37"/>
      <c r="E21" s="37"/>
      <c r="F21" s="29">
        <v>-76.869821999999999</v>
      </c>
      <c r="G21" s="2">
        <f>F21*2625.5</f>
        <v>-201821.717661</v>
      </c>
      <c r="H21" s="26">
        <f>F21*627.509</f>
        <v>-48236.505133398001</v>
      </c>
      <c r="I21" s="2"/>
      <c r="J21" s="2"/>
      <c r="K21" s="2"/>
      <c r="L21" s="2"/>
      <c r="M21" s="8"/>
      <c r="N21" s="8"/>
      <c r="O21" s="8"/>
      <c r="P21" s="2"/>
      <c r="Q21" s="2"/>
      <c r="R21" s="2"/>
      <c r="S21" s="2"/>
      <c r="T21" s="2"/>
    </row>
    <row r="22" spans="1:20">
      <c r="A22" s="27" t="s">
        <v>39</v>
      </c>
      <c r="B22" s="44" t="s">
        <v>40</v>
      </c>
      <c r="C22" s="45"/>
      <c r="D22" s="45"/>
      <c r="E22" s="45"/>
      <c r="F22" s="1">
        <v>-0.66988300000000001</v>
      </c>
      <c r="G22" s="2">
        <f>F22*2625.5</f>
        <v>-1758.7778165</v>
      </c>
      <c r="H22" s="26">
        <f>F22*627.509</f>
        <v>-420.35761144700001</v>
      </c>
      <c r="I22" s="2"/>
      <c r="J22" s="5"/>
      <c r="K22" s="2"/>
      <c r="L22" s="25"/>
      <c r="M22" s="25"/>
      <c r="N22" s="25"/>
      <c r="O22" s="25"/>
      <c r="P22" s="2"/>
      <c r="Q22" s="2"/>
      <c r="R22" s="2"/>
      <c r="S22" s="2"/>
      <c r="T22" s="2"/>
    </row>
    <row r="23" spans="1:20">
      <c r="A23" s="27" t="s">
        <v>41</v>
      </c>
      <c r="B23" s="44" t="s">
        <v>42</v>
      </c>
      <c r="C23" s="45"/>
      <c r="D23" s="45"/>
      <c r="E23" s="45"/>
      <c r="F23" s="1">
        <v>-76.468678999999995</v>
      </c>
      <c r="G23" s="2">
        <f>F23*2625.5</f>
        <v>-200768.51671449997</v>
      </c>
      <c r="H23" s="26">
        <f>F23*627.509</f>
        <v>-47984.784290610995</v>
      </c>
      <c r="I23" s="2"/>
      <c r="J23" s="5"/>
      <c r="K23" s="2"/>
      <c r="L23" s="8"/>
      <c r="M23" s="8"/>
      <c r="N23" s="17"/>
      <c r="O23" s="8"/>
      <c r="P23" s="2"/>
      <c r="Q23" s="18"/>
      <c r="R23" s="2"/>
      <c r="S23" s="2"/>
      <c r="T23" s="2"/>
    </row>
    <row r="24" spans="1:20">
      <c r="A24" s="11" t="s">
        <v>43</v>
      </c>
      <c r="B24" s="42" t="s">
        <v>44</v>
      </c>
      <c r="C24" s="43"/>
      <c r="D24" s="43"/>
      <c r="E24" s="43"/>
      <c r="F24" s="10">
        <v>-153.85852800000001</v>
      </c>
      <c r="G24" s="6">
        <f>F24*2625.5</f>
        <v>-403955.56526400003</v>
      </c>
      <c r="H24" s="7">
        <f>F24*627.509</f>
        <v>-96547.611046752005</v>
      </c>
      <c r="I24" s="2"/>
      <c r="J24" s="5"/>
      <c r="K24" s="2"/>
      <c r="L24" s="8"/>
      <c r="M24" s="8"/>
      <c r="N24" s="8"/>
      <c r="O24" s="8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8"/>
      <c r="N25" s="8"/>
      <c r="O25" s="8"/>
      <c r="P25" s="2"/>
      <c r="Q25" s="2"/>
      <c r="R25" s="2"/>
      <c r="S25" s="2"/>
      <c r="T25" s="2"/>
    </row>
    <row r="27" spans="1:20">
      <c r="F27" s="13"/>
    </row>
    <row r="36" spans="2:8">
      <c r="G36" s="8"/>
    </row>
    <row r="37" spans="2:8">
      <c r="G37" s="8"/>
    </row>
    <row r="38" spans="2:8">
      <c r="G38" s="8"/>
    </row>
    <row r="39" spans="2:8">
      <c r="G39" s="8"/>
      <c r="H39" s="14"/>
    </row>
    <row r="40" spans="2:8">
      <c r="G40" s="8"/>
    </row>
    <row r="41" spans="2:8">
      <c r="G41" s="8"/>
      <c r="H41" s="14"/>
    </row>
    <row r="42" spans="2:8">
      <c r="G42" s="8"/>
    </row>
    <row r="43" spans="2:8">
      <c r="G43" s="8"/>
      <c r="H43" s="14"/>
    </row>
    <row r="44" spans="2:8" ht="21">
      <c r="B44" s="38"/>
      <c r="C44" s="39"/>
      <c r="D44" s="39"/>
      <c r="E44" s="39"/>
    </row>
    <row r="45" spans="2:8">
      <c r="B45" s="2"/>
      <c r="C45" s="2"/>
      <c r="D45" s="2"/>
      <c r="E45" s="2"/>
      <c r="G45" s="15"/>
    </row>
    <row r="46" spans="2:8">
      <c r="B46" s="2"/>
      <c r="C46" s="2"/>
      <c r="D46" s="2"/>
      <c r="E46" s="2"/>
    </row>
    <row r="47" spans="2:8">
      <c r="B47" s="2"/>
      <c r="C47" s="2"/>
      <c r="D47" s="2"/>
      <c r="E47" s="16"/>
      <c r="G47" s="8"/>
    </row>
    <row r="48" spans="2:8">
      <c r="B48" s="2"/>
      <c r="C48" s="2"/>
      <c r="E48" s="5"/>
      <c r="G48" s="8"/>
    </row>
    <row r="49" spans="2:7">
      <c r="B49" s="2"/>
      <c r="C49" s="2"/>
      <c r="D49" s="2"/>
      <c r="E49" s="5"/>
      <c r="G49" s="8"/>
    </row>
    <row r="50" spans="2:7">
      <c r="B50" s="2"/>
      <c r="C50" s="2"/>
      <c r="D50" s="2"/>
      <c r="E50" s="5"/>
      <c r="G50" s="8"/>
    </row>
    <row r="51" spans="2:7">
      <c r="B51" s="2"/>
      <c r="C51" s="2"/>
      <c r="D51" s="2"/>
      <c r="E51" s="5"/>
      <c r="G51" s="8"/>
    </row>
    <row r="52" spans="2:7">
      <c r="B52" s="2"/>
      <c r="C52" s="2"/>
      <c r="D52" s="2"/>
      <c r="E52" s="5"/>
      <c r="G52" s="8"/>
    </row>
    <row r="53" spans="2:7">
      <c r="B53" s="2"/>
      <c r="C53" s="2"/>
      <c r="D53" s="2"/>
      <c r="E53" s="5"/>
    </row>
  </sheetData>
  <mergeCells count="28">
    <mergeCell ref="L1:M1"/>
    <mergeCell ref="B13:E13"/>
    <mergeCell ref="B15:E15"/>
    <mergeCell ref="B16:E16"/>
    <mergeCell ref="B4:E4"/>
    <mergeCell ref="B7:E7"/>
    <mergeCell ref="J5:N5"/>
    <mergeCell ref="B8:E8"/>
    <mergeCell ref="B9:E9"/>
    <mergeCell ref="B10:E10"/>
    <mergeCell ref="B11:E11"/>
    <mergeCell ref="B2:E3"/>
    <mergeCell ref="A2:A3"/>
    <mergeCell ref="A1:H1"/>
    <mergeCell ref="B20:E20"/>
    <mergeCell ref="B44:E44"/>
    <mergeCell ref="B14:E14"/>
    <mergeCell ref="B24:E24"/>
    <mergeCell ref="B22:E22"/>
    <mergeCell ref="B23:E23"/>
    <mergeCell ref="F2:H2"/>
    <mergeCell ref="B5:E5"/>
    <mergeCell ref="B6:E6"/>
    <mergeCell ref="B21:E21"/>
    <mergeCell ref="B19:E19"/>
    <mergeCell ref="B12:E12"/>
    <mergeCell ref="B17:E17"/>
    <mergeCell ref="B18:E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2026-05-10T04:00:20Z</dcterms:created>
  <dcterms:modified xsi:type="dcterms:W3CDTF">2026-10-10T03:34:55Z</dcterms:modified>
  <cp:category/>
  <cp:contentStatus/>
</cp:coreProperties>
</file>